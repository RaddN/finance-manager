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" sheetId="1" r:id="rId4"/>
    <sheet state="visible" name="Expenses" sheetId="2" r:id="rId5"/>
    <sheet state="visible" name="Receivables" sheetId="3" r:id="rId6"/>
    <sheet state="visible" name="Payables" sheetId="4" r:id="rId7"/>
    <sheet state="visible" name="Plans" sheetId="5" r:id="rId8"/>
    <sheet state="visible" name="Budgets" sheetId="6" r:id="rId9"/>
    <sheet state="visible" name="Categories" sheetId="7" r:id="rId10"/>
  </sheets>
  <definedNames/>
  <calcPr/>
</workbook>
</file>

<file path=xl/sharedStrings.xml><?xml version="1.0" encoding="utf-8"?>
<sst xmlns="http://schemas.openxmlformats.org/spreadsheetml/2006/main" count="180" uniqueCount="114">
  <si>
    <t>source</t>
  </si>
  <si>
    <t>amount</t>
  </si>
  <si>
    <t>date</t>
  </si>
  <si>
    <t>category</t>
  </si>
  <si>
    <t>recurring</t>
  </si>
  <si>
    <t>notes</t>
  </si>
  <si>
    <t>Previous month savings</t>
  </si>
  <si>
    <t>Giant Marketers</t>
  </si>
  <si>
    <t>Salary</t>
  </si>
  <si>
    <t>ESEO</t>
  </si>
  <si>
    <t>eid salami</t>
  </si>
  <si>
    <t>plugin project earn</t>
  </si>
  <si>
    <t>personal project</t>
  </si>
  <si>
    <t>rajbir</t>
  </si>
  <si>
    <t>Eseo</t>
  </si>
  <si>
    <t>vaiya</t>
  </si>
  <si>
    <t>description</t>
  </si>
  <si>
    <t>soaib</t>
  </si>
  <si>
    <t>2024-07-30</t>
  </si>
  <si>
    <t>office ar chele</t>
  </si>
  <si>
    <t>july basa bara</t>
  </si>
  <si>
    <t>Eid Shopping</t>
  </si>
  <si>
    <t>2025-03-01</t>
  </si>
  <si>
    <t>ammur mobile &amp; others</t>
  </si>
  <si>
    <t>March basa vara</t>
  </si>
  <si>
    <t>papry apur basa</t>
  </si>
  <si>
    <t>shoshur bari</t>
  </si>
  <si>
    <t>mehedi, churi, others</t>
  </si>
  <si>
    <t>poly</t>
  </si>
  <si>
    <t>Wifi bill</t>
  </si>
  <si>
    <t>husna</t>
  </si>
  <si>
    <t>2025-04-01</t>
  </si>
  <si>
    <t>electric bill</t>
  </si>
  <si>
    <t>Other</t>
  </si>
  <si>
    <t>biriyani</t>
  </si>
  <si>
    <t>Emu</t>
  </si>
  <si>
    <t>2025-05-01</t>
  </si>
  <si>
    <t>Bari vara</t>
  </si>
  <si>
    <t>chadni</t>
  </si>
  <si>
    <t>Balish</t>
  </si>
  <si>
    <t>washing tool</t>
  </si>
  <si>
    <t>katha</t>
  </si>
  <si>
    <t>ammu</t>
  </si>
  <si>
    <t>hospital</t>
  </si>
  <si>
    <t>coconut</t>
  </si>
  <si>
    <t>Biriyani</t>
  </si>
  <si>
    <t>vabir basa</t>
  </si>
  <si>
    <t>Alu</t>
  </si>
  <si>
    <t>Bazar</t>
  </si>
  <si>
    <t>car rent</t>
  </si>
  <si>
    <t>others</t>
  </si>
  <si>
    <t>Poly Birthday</t>
  </si>
  <si>
    <t>buy something</t>
  </si>
  <si>
    <t>Gas</t>
  </si>
  <si>
    <t>extra for pocket money</t>
  </si>
  <si>
    <t>fochka</t>
  </si>
  <si>
    <t>Electricity bill may</t>
  </si>
  <si>
    <t xml:space="preserve">house rent </t>
  </si>
  <si>
    <t xml:space="preserve">ammu shopping </t>
  </si>
  <si>
    <t xml:space="preserve">poly shopping </t>
  </si>
  <si>
    <t xml:space="preserve">doctor </t>
  </si>
  <si>
    <t>eid salami husna</t>
  </si>
  <si>
    <t>electricity bill june</t>
  </si>
  <si>
    <t xml:space="preserve">grocery expenses </t>
  </si>
  <si>
    <t>boro vabi</t>
  </si>
  <si>
    <t>kurbani</t>
  </si>
  <si>
    <t>Gorur Mangsho</t>
  </si>
  <si>
    <t>alu</t>
  </si>
  <si>
    <t>wifi</t>
  </si>
  <si>
    <t xml:space="preserve">recharge </t>
  </si>
  <si>
    <t xml:space="preserve">knip Sharpe </t>
  </si>
  <si>
    <t>pan</t>
  </si>
  <si>
    <t>dud</t>
  </si>
  <si>
    <t>humairar osod</t>
  </si>
  <si>
    <t>mehedi</t>
  </si>
  <si>
    <t>egg</t>
  </si>
  <si>
    <t xml:space="preserve">ice cream+ cold drinks </t>
  </si>
  <si>
    <t xml:space="preserve">laptop </t>
  </si>
  <si>
    <t>beg</t>
  </si>
  <si>
    <t xml:space="preserve">ammur mobile recharge </t>
  </si>
  <si>
    <t xml:space="preserve">poly recharge </t>
  </si>
  <si>
    <t>fan</t>
  </si>
  <si>
    <t>others (poly)</t>
  </si>
  <si>
    <t xml:space="preserve">abbur recharge </t>
  </si>
  <si>
    <t xml:space="preserve">amar recharge </t>
  </si>
  <si>
    <t>bazar</t>
  </si>
  <si>
    <t>mach, sing mach, bazar</t>
  </si>
  <si>
    <t xml:space="preserve">cylinder </t>
  </si>
  <si>
    <t>dokan</t>
  </si>
  <si>
    <t>from</t>
  </si>
  <si>
    <t>Papry Apu</t>
  </si>
  <si>
    <t>Dar</t>
  </si>
  <si>
    <t>Sojib vai</t>
  </si>
  <si>
    <t>Vaiya</t>
  </si>
  <si>
    <t>Dar for giving to shakil vai</t>
  </si>
  <si>
    <t>to</t>
  </si>
  <si>
    <t>dueDate</t>
  </si>
  <si>
    <t>Ammu</t>
  </si>
  <si>
    <t>Biyer somoy neoya</t>
  </si>
  <si>
    <t>2026-02-01</t>
  </si>
  <si>
    <t>Arisha</t>
  </si>
  <si>
    <t>Vaiya k deoya hoise</t>
  </si>
  <si>
    <t>2026-01-01</t>
  </si>
  <si>
    <t>title</t>
  </si>
  <si>
    <t>targetAmount</t>
  </si>
  <si>
    <t>currentAmount</t>
  </si>
  <si>
    <t>deadline</t>
  </si>
  <si>
    <t>Buy at last 2 shotok land</t>
  </si>
  <si>
    <t>0</t>
  </si>
  <si>
    <t>2026-04-30</t>
  </si>
  <si>
    <t>name</t>
  </si>
  <si>
    <t>type</t>
  </si>
  <si>
    <t>expense</t>
  </si>
  <si>
    <t>income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</si>
</sst>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3">
    <font>
      <sz val="12.0"/>
      <color rgb="FF000000"/>
      <name val="Arial"/>
      <scheme val="minor"/>
    </font>
    <font/>
    <font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0" xfId="0" applyFont="1"/>
    <xf borderId="0" fillId="0" fontId="1" numFmtId="164" xfId="0" applyFont="1" applyNumberFormat="1"/>
    <xf borderId="0" fillId="0" fontId="2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sheetFormatPr customHeight="1" defaultColWidth="12.63" defaultRowHeight="15.0"/>
  <cols>
    <col customWidth="1" min="1" max="6" width="12.63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>
      <c r="A2" t="s">
        <v>6</v>
      </c>
      <c r="B2">
        <v>7000.0</v>
      </c>
      <c r="C2" s="1">
        <v>45503.0</v>
      </c>
      <c r="E2" t="b">
        <v>0</v>
      </c>
    </row>
    <row r="3">
      <c r="A3" t="s">
        <v>7</v>
      </c>
      <c r="B3">
        <v>15000.0</v>
      </c>
      <c r="C3" s="1">
        <v>45503.0</v>
      </c>
      <c r="D3" t="s">
        <v>8</v>
      </c>
      <c r="E3" t="b">
        <v>0</v>
      </c>
    </row>
    <row r="4">
      <c r="A4" t="s">
        <v>7</v>
      </c>
      <c r="B4">
        <v>30000.0</v>
      </c>
      <c r="C4" s="1">
        <v>45744.0</v>
      </c>
      <c r="D4" t="s">
        <v>8</v>
      </c>
      <c r="E4" t="b">
        <v>0</v>
      </c>
    </row>
    <row r="5">
      <c r="A5" t="s">
        <v>9</v>
      </c>
      <c r="B5">
        <v>50140.0</v>
      </c>
      <c r="C5" s="1">
        <v>45744.0</v>
      </c>
      <c r="D5" t="s">
        <v>8</v>
      </c>
      <c r="E5" t="b">
        <v>0</v>
      </c>
    </row>
    <row r="6">
      <c r="A6" t="s">
        <v>10</v>
      </c>
      <c r="B6">
        <v>2100.0</v>
      </c>
      <c r="C6" s="1">
        <v>45744.0</v>
      </c>
      <c r="D6" t="s">
        <v>10</v>
      </c>
      <c r="E6" t="b">
        <v>0</v>
      </c>
    </row>
    <row r="7">
      <c r="A7" t="s">
        <v>7</v>
      </c>
      <c r="B7">
        <v>20000.0</v>
      </c>
      <c r="C7" s="1">
        <v>45807.0</v>
      </c>
      <c r="D7" t="s">
        <v>8</v>
      </c>
      <c r="E7" t="b">
        <v>0</v>
      </c>
    </row>
    <row r="8">
      <c r="A8" t="s">
        <v>11</v>
      </c>
      <c r="B8">
        <v>3000.0</v>
      </c>
      <c r="C8" s="1">
        <v>45807.0</v>
      </c>
      <c r="D8" t="s">
        <v>12</v>
      </c>
      <c r="E8" t="b">
        <v>0</v>
      </c>
    </row>
    <row r="9">
      <c r="A9" t="s">
        <v>13</v>
      </c>
      <c r="B9">
        <v>7000.0</v>
      </c>
      <c r="C9" s="1">
        <v>45807.0</v>
      </c>
      <c r="D9" t="s">
        <v>12</v>
      </c>
      <c r="E9" t="b">
        <v>0</v>
      </c>
    </row>
    <row r="10">
      <c r="A10" t="s">
        <v>9</v>
      </c>
      <c r="B10">
        <v>36000.0</v>
      </c>
      <c r="C10" s="1">
        <v>45807.0</v>
      </c>
      <c r="D10" t="s">
        <v>8</v>
      </c>
      <c r="E10" t="b">
        <v>0</v>
      </c>
    </row>
    <row r="11">
      <c r="A11" s="2" t="s">
        <v>14</v>
      </c>
      <c r="B11" s="3">
        <v>56610.0</v>
      </c>
      <c r="C11" s="1">
        <v>45838.0</v>
      </c>
      <c r="D11" t="s">
        <v>8</v>
      </c>
    </row>
    <row r="12">
      <c r="A12" s="2" t="s">
        <v>7</v>
      </c>
      <c r="B12" s="3">
        <v>25000.0</v>
      </c>
      <c r="C12" s="1">
        <v>45838.0</v>
      </c>
      <c r="D12" t="s">
        <v>8</v>
      </c>
    </row>
    <row r="13">
      <c r="A13" s="2" t="s">
        <v>15</v>
      </c>
      <c r="B13" s="3">
        <v>20000.0</v>
      </c>
      <c r="C13" s="1">
        <v>45838.0</v>
      </c>
      <c r="D13" s="4" t="s">
        <v>15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sheetFormatPr customHeight="1" defaultColWidth="12.63" defaultRowHeight="15.0"/>
  <cols>
    <col customWidth="1" min="1" max="6" width="12.63"/>
  </cols>
  <sheetData>
    <row r="1">
      <c r="A1" t="s">
        <v>16</v>
      </c>
      <c r="B1" t="s">
        <v>1</v>
      </c>
      <c r="C1" t="s">
        <v>2</v>
      </c>
      <c r="D1" t="s">
        <v>3</v>
      </c>
      <c r="E1" t="s">
        <v>5</v>
      </c>
      <c r="F1" t="s">
        <v>4</v>
      </c>
    </row>
    <row r="2">
      <c r="A2" t="s">
        <v>17</v>
      </c>
      <c r="B2">
        <v>5000.0</v>
      </c>
      <c r="C2" t="s">
        <v>18</v>
      </c>
      <c r="F2" t="b">
        <v>0</v>
      </c>
    </row>
    <row r="3">
      <c r="A3" t="s">
        <v>19</v>
      </c>
      <c r="B3">
        <v>5000.0</v>
      </c>
      <c r="C3" t="s">
        <v>18</v>
      </c>
      <c r="F3" t="b">
        <v>0</v>
      </c>
    </row>
    <row r="4">
      <c r="A4" t="s">
        <v>20</v>
      </c>
      <c r="B4">
        <v>7000.0</v>
      </c>
      <c r="C4" t="s">
        <v>18</v>
      </c>
      <c r="F4" t="b">
        <v>0</v>
      </c>
    </row>
    <row r="5">
      <c r="A5" t="s">
        <v>21</v>
      </c>
      <c r="B5">
        <v>13000.0</v>
      </c>
      <c r="C5" t="s">
        <v>22</v>
      </c>
      <c r="F5" t="b">
        <v>0</v>
      </c>
    </row>
    <row r="6">
      <c r="A6" t="s">
        <v>23</v>
      </c>
      <c r="B6">
        <v>25000.0</v>
      </c>
      <c r="C6" t="s">
        <v>22</v>
      </c>
      <c r="F6" t="b">
        <v>0</v>
      </c>
    </row>
    <row r="7">
      <c r="A7" t="s">
        <v>24</v>
      </c>
      <c r="B7">
        <v>8500.0</v>
      </c>
      <c r="C7" t="s">
        <v>22</v>
      </c>
      <c r="F7" t="b">
        <v>0</v>
      </c>
    </row>
    <row r="8">
      <c r="A8" t="s">
        <v>25</v>
      </c>
      <c r="B8">
        <v>1000.0</v>
      </c>
      <c r="C8" t="s">
        <v>22</v>
      </c>
      <c r="F8" t="b">
        <v>0</v>
      </c>
    </row>
    <row r="9">
      <c r="A9" t="s">
        <v>26</v>
      </c>
      <c r="B9">
        <v>1000.0</v>
      </c>
      <c r="C9" t="s">
        <v>22</v>
      </c>
      <c r="F9" t="b">
        <v>0</v>
      </c>
    </row>
    <row r="10">
      <c r="A10" t="s">
        <v>27</v>
      </c>
      <c r="B10">
        <v>2000.0</v>
      </c>
      <c r="C10" t="s">
        <v>22</v>
      </c>
      <c r="F10" t="b">
        <v>0</v>
      </c>
    </row>
    <row r="11">
      <c r="A11" t="s">
        <v>28</v>
      </c>
      <c r="B11">
        <v>1600.0</v>
      </c>
      <c r="C11" t="s">
        <v>22</v>
      </c>
      <c r="F11" t="b">
        <v>0</v>
      </c>
    </row>
    <row r="12">
      <c r="A12" t="s">
        <v>29</v>
      </c>
      <c r="B12">
        <v>515.0</v>
      </c>
      <c r="C12" t="s">
        <v>22</v>
      </c>
      <c r="F12" t="b">
        <v>0</v>
      </c>
    </row>
    <row r="13">
      <c r="A13" t="s">
        <v>30</v>
      </c>
      <c r="B13">
        <v>2000.0</v>
      </c>
      <c r="C13" t="s">
        <v>31</v>
      </c>
      <c r="F13" t="b">
        <v>0</v>
      </c>
    </row>
    <row r="14">
      <c r="A14" t="s">
        <v>32</v>
      </c>
      <c r="B14">
        <v>1224.0</v>
      </c>
      <c r="C14" t="s">
        <v>31</v>
      </c>
      <c r="D14" t="s">
        <v>33</v>
      </c>
      <c r="F14" t="b">
        <v>0</v>
      </c>
    </row>
    <row r="15">
      <c r="A15" t="s">
        <v>34</v>
      </c>
      <c r="B15">
        <v>440.0</v>
      </c>
      <c r="C15" t="s">
        <v>31</v>
      </c>
      <c r="F15" t="b">
        <v>0</v>
      </c>
    </row>
    <row r="16">
      <c r="A16" t="s">
        <v>35</v>
      </c>
      <c r="B16">
        <v>5000.0</v>
      </c>
      <c r="C16" t="s">
        <v>36</v>
      </c>
      <c r="F16" t="b">
        <v>0</v>
      </c>
    </row>
    <row r="17">
      <c r="A17" t="s">
        <v>37</v>
      </c>
      <c r="B17">
        <v>9000.0</v>
      </c>
      <c r="C17" t="s">
        <v>36</v>
      </c>
      <c r="F17" t="b">
        <v>0</v>
      </c>
    </row>
    <row r="18">
      <c r="A18" t="s">
        <v>38</v>
      </c>
      <c r="B18">
        <v>2000.0</v>
      </c>
      <c r="C18" t="s">
        <v>36</v>
      </c>
      <c r="F18" t="b">
        <v>0</v>
      </c>
    </row>
    <row r="19">
      <c r="A19" t="s">
        <v>39</v>
      </c>
      <c r="B19">
        <v>1500.0</v>
      </c>
      <c r="C19" t="s">
        <v>36</v>
      </c>
      <c r="F19" t="b">
        <v>0</v>
      </c>
    </row>
    <row r="20">
      <c r="A20" t="s">
        <v>40</v>
      </c>
      <c r="B20">
        <v>2240.0</v>
      </c>
      <c r="C20" t="s">
        <v>36</v>
      </c>
      <c r="F20" t="b">
        <v>0</v>
      </c>
    </row>
    <row r="21" ht="15.75" customHeight="1">
      <c r="A21" t="s">
        <v>41</v>
      </c>
      <c r="B21">
        <v>2590.0</v>
      </c>
      <c r="C21" t="s">
        <v>36</v>
      </c>
      <c r="F21" t="b">
        <v>0</v>
      </c>
    </row>
    <row r="22" ht="15.75" customHeight="1">
      <c r="A22" t="s">
        <v>28</v>
      </c>
      <c r="B22">
        <v>2000.0</v>
      </c>
      <c r="C22" t="s">
        <v>36</v>
      </c>
      <c r="F22" t="b">
        <v>0</v>
      </c>
    </row>
    <row r="23" ht="15.75" customHeight="1">
      <c r="A23" t="s">
        <v>42</v>
      </c>
      <c r="B23">
        <v>1000.0</v>
      </c>
      <c r="C23" t="s">
        <v>36</v>
      </c>
      <c r="F23" t="b">
        <v>0</v>
      </c>
    </row>
    <row r="24" ht="15.75" customHeight="1">
      <c r="A24" t="s">
        <v>43</v>
      </c>
      <c r="B24">
        <v>2500.0</v>
      </c>
      <c r="C24" t="s">
        <v>36</v>
      </c>
      <c r="F24" t="b">
        <v>0</v>
      </c>
    </row>
    <row r="25" ht="15.75" customHeight="1">
      <c r="A25" t="s">
        <v>30</v>
      </c>
      <c r="B25">
        <v>700.0</v>
      </c>
      <c r="C25" t="s">
        <v>36</v>
      </c>
      <c r="F25" t="b">
        <v>0</v>
      </c>
    </row>
    <row r="26" ht="15.75" customHeight="1">
      <c r="A26" t="s">
        <v>44</v>
      </c>
      <c r="B26">
        <v>2000.0</v>
      </c>
      <c r="C26" t="s">
        <v>36</v>
      </c>
      <c r="F26" t="b">
        <v>0</v>
      </c>
    </row>
    <row r="27" ht="15.75" customHeight="1">
      <c r="A27" t="s">
        <v>45</v>
      </c>
      <c r="B27">
        <v>270.0</v>
      </c>
      <c r="C27" t="s">
        <v>36</v>
      </c>
      <c r="F27" t="b">
        <v>0</v>
      </c>
    </row>
    <row r="28" ht="15.75" customHeight="1">
      <c r="A28" t="s">
        <v>46</v>
      </c>
      <c r="B28">
        <v>7000.0</v>
      </c>
      <c r="C28" t="s">
        <v>36</v>
      </c>
      <c r="F28" t="b">
        <v>0</v>
      </c>
    </row>
    <row r="29" ht="15.75" customHeight="1">
      <c r="A29" t="s">
        <v>47</v>
      </c>
      <c r="B29">
        <v>100.0</v>
      </c>
      <c r="C29" t="s">
        <v>36</v>
      </c>
      <c r="F29" t="b">
        <v>0</v>
      </c>
    </row>
    <row r="30" ht="15.75" customHeight="1">
      <c r="A30" t="s">
        <v>34</v>
      </c>
      <c r="B30">
        <v>360.0</v>
      </c>
      <c r="C30" t="s">
        <v>36</v>
      </c>
      <c r="F30" t="b">
        <v>0</v>
      </c>
    </row>
    <row r="31" ht="15.75" customHeight="1">
      <c r="A31" t="s">
        <v>48</v>
      </c>
      <c r="B31">
        <v>300.0</v>
      </c>
      <c r="C31" t="s">
        <v>36</v>
      </c>
      <c r="F31" t="b">
        <v>0</v>
      </c>
    </row>
    <row r="32" ht="15.75" customHeight="1">
      <c r="A32" t="s">
        <v>49</v>
      </c>
      <c r="B32">
        <v>750.0</v>
      </c>
      <c r="C32" t="s">
        <v>36</v>
      </c>
      <c r="F32" t="b">
        <v>0</v>
      </c>
    </row>
    <row r="33" ht="15.75" customHeight="1">
      <c r="A33" t="s">
        <v>50</v>
      </c>
      <c r="B33">
        <v>5061.0</v>
      </c>
      <c r="C33" t="s">
        <v>36</v>
      </c>
      <c r="F33" t="b">
        <v>0</v>
      </c>
    </row>
    <row r="34" ht="15.75" customHeight="1">
      <c r="A34" t="s">
        <v>51</v>
      </c>
      <c r="B34">
        <v>2040.0</v>
      </c>
      <c r="C34" t="s">
        <v>36</v>
      </c>
      <c r="F34" t="b">
        <v>0</v>
      </c>
    </row>
    <row r="35" ht="15.75" customHeight="1">
      <c r="A35" t="s">
        <v>52</v>
      </c>
      <c r="B35">
        <v>2040.0</v>
      </c>
      <c r="C35" t="s">
        <v>36</v>
      </c>
      <c r="F35" t="b">
        <v>0</v>
      </c>
    </row>
    <row r="36" ht="15.75" customHeight="1">
      <c r="A36" t="s">
        <v>53</v>
      </c>
      <c r="B36">
        <v>1520.0</v>
      </c>
      <c r="C36" t="s">
        <v>36</v>
      </c>
      <c r="F36" t="b">
        <v>0</v>
      </c>
    </row>
    <row r="37" ht="15.75" customHeight="1">
      <c r="A37" t="s">
        <v>54</v>
      </c>
      <c r="B37">
        <v>1980.0</v>
      </c>
      <c r="C37" t="s">
        <v>36</v>
      </c>
      <c r="D37" t="s">
        <v>33</v>
      </c>
      <c r="F37" t="b">
        <v>0</v>
      </c>
    </row>
    <row r="38" ht="15.75" customHeight="1">
      <c r="A38" s="2" t="s">
        <v>55</v>
      </c>
      <c r="B38" s="3">
        <v>110.0</v>
      </c>
      <c r="C38" s="5">
        <v>45809.0</v>
      </c>
    </row>
    <row r="39" ht="15.75" customHeight="1">
      <c r="A39" s="2" t="s">
        <v>35</v>
      </c>
      <c r="B39" s="3">
        <v>4000.0</v>
      </c>
      <c r="C39" s="5">
        <v>45809.0</v>
      </c>
    </row>
    <row r="40" ht="15.75" customHeight="1">
      <c r="A40" s="2" t="s">
        <v>56</v>
      </c>
      <c r="B40" s="3">
        <v>2500.0</v>
      </c>
      <c r="C40" s="5">
        <v>45809.0</v>
      </c>
    </row>
    <row r="41" ht="15.75" customHeight="1">
      <c r="A41" s="2" t="s">
        <v>57</v>
      </c>
      <c r="B41" s="3">
        <v>7000.0</v>
      </c>
      <c r="C41" s="5">
        <v>45809.0</v>
      </c>
    </row>
    <row r="42" ht="15.75" customHeight="1">
      <c r="A42" s="2" t="s">
        <v>58</v>
      </c>
      <c r="B42" s="3">
        <v>2500.0</v>
      </c>
      <c r="C42" s="5">
        <v>45809.0</v>
      </c>
    </row>
    <row r="43" ht="15.75" customHeight="1">
      <c r="A43" s="2" t="s">
        <v>59</v>
      </c>
      <c r="B43" s="3">
        <v>1500.0</v>
      </c>
      <c r="C43" s="5">
        <v>45809.0</v>
      </c>
    </row>
    <row r="44" ht="15.75" customHeight="1">
      <c r="A44" s="2" t="s">
        <v>60</v>
      </c>
      <c r="B44" s="3">
        <v>4000.0</v>
      </c>
      <c r="C44" s="5">
        <v>45809.0</v>
      </c>
    </row>
    <row r="45" ht="15.75" customHeight="1">
      <c r="A45" s="2" t="s">
        <v>61</v>
      </c>
      <c r="B45" s="3">
        <v>500.0</v>
      </c>
      <c r="C45" s="5">
        <v>45809.0</v>
      </c>
    </row>
    <row r="46" ht="15.75" customHeight="1">
      <c r="A46" s="2" t="s">
        <v>28</v>
      </c>
      <c r="B46" s="3">
        <v>1916.85</v>
      </c>
      <c r="C46" s="5">
        <v>45809.0</v>
      </c>
    </row>
    <row r="47" ht="15.75" customHeight="1">
      <c r="A47" s="2" t="s">
        <v>62</v>
      </c>
      <c r="B47" s="3">
        <v>2200.0</v>
      </c>
      <c r="C47" s="5">
        <v>45809.0</v>
      </c>
    </row>
    <row r="48" ht="15.75" customHeight="1">
      <c r="A48" s="2" t="s">
        <v>63</v>
      </c>
      <c r="B48" s="3">
        <v>12750.0</v>
      </c>
      <c r="C48" s="5">
        <v>45809.0</v>
      </c>
    </row>
    <row r="49" ht="15.75" customHeight="1">
      <c r="A49" s="2" t="s">
        <v>64</v>
      </c>
      <c r="B49" s="3">
        <v>2000.0</v>
      </c>
      <c r="C49" s="5">
        <v>45809.0</v>
      </c>
    </row>
    <row r="50" ht="15.75" customHeight="1">
      <c r="A50" s="2" t="s">
        <v>42</v>
      </c>
      <c r="B50" s="3">
        <v>2500.0</v>
      </c>
      <c r="C50" s="5">
        <v>45809.0</v>
      </c>
    </row>
    <row r="51" ht="15.75" customHeight="1">
      <c r="A51" s="2" t="s">
        <v>65</v>
      </c>
      <c r="B51" s="3">
        <v>14500.0</v>
      </c>
      <c r="C51" s="5">
        <v>45809.0</v>
      </c>
    </row>
    <row r="52" ht="15.75" customHeight="1">
      <c r="A52" s="2" t="s">
        <v>66</v>
      </c>
      <c r="B52" s="3">
        <v>1550.0</v>
      </c>
      <c r="C52" s="5">
        <v>45809.0</v>
      </c>
    </row>
    <row r="53" ht="15.75" customHeight="1">
      <c r="A53" s="2" t="s">
        <v>67</v>
      </c>
      <c r="B53" s="3">
        <v>100.0</v>
      </c>
      <c r="C53" s="5">
        <v>45809.0</v>
      </c>
    </row>
    <row r="54" ht="15.75" customHeight="1">
      <c r="A54" s="2" t="s">
        <v>49</v>
      </c>
      <c r="B54" s="3">
        <v>450.0</v>
      </c>
      <c r="C54" s="5">
        <v>45809.0</v>
      </c>
    </row>
    <row r="55" ht="15.75" customHeight="1">
      <c r="A55" s="2" t="s">
        <v>68</v>
      </c>
      <c r="B55" s="3">
        <v>525.0</v>
      </c>
      <c r="C55" s="5">
        <v>45809.0</v>
      </c>
    </row>
    <row r="56" ht="15.75" customHeight="1">
      <c r="A56" s="2" t="s">
        <v>69</v>
      </c>
      <c r="B56" s="3">
        <v>100.0</v>
      </c>
      <c r="C56" s="5">
        <v>45809.0</v>
      </c>
    </row>
    <row r="57" ht="15.75" customHeight="1">
      <c r="A57" s="2" t="s">
        <v>70</v>
      </c>
      <c r="B57" s="3">
        <v>900.0</v>
      </c>
      <c r="C57" s="5">
        <v>45809.0</v>
      </c>
    </row>
    <row r="58" ht="15.75" customHeight="1">
      <c r="A58" s="2" t="s">
        <v>71</v>
      </c>
      <c r="B58" s="3">
        <v>60.0</v>
      </c>
      <c r="C58" s="5">
        <v>45809.0</v>
      </c>
    </row>
    <row r="59" ht="15.75" customHeight="1">
      <c r="A59" s="2" t="s">
        <v>72</v>
      </c>
      <c r="B59" s="3">
        <v>120.0</v>
      </c>
      <c r="C59" s="5">
        <v>45809.0</v>
      </c>
    </row>
    <row r="60" ht="15.75" customHeight="1">
      <c r="A60" s="2" t="s">
        <v>73</v>
      </c>
      <c r="B60" s="3">
        <v>330.0</v>
      </c>
      <c r="C60" s="5">
        <v>45809.0</v>
      </c>
    </row>
    <row r="61" ht="15.75" customHeight="1">
      <c r="A61" s="2" t="s">
        <v>74</v>
      </c>
      <c r="B61" s="3">
        <v>90.0</v>
      </c>
      <c r="C61" s="5">
        <v>45809.0</v>
      </c>
    </row>
    <row r="62" ht="15.75" customHeight="1">
      <c r="A62" s="2" t="s">
        <v>75</v>
      </c>
      <c r="B62" s="3">
        <v>100.0</v>
      </c>
      <c r="C62" s="5">
        <v>45809.0</v>
      </c>
    </row>
    <row r="63" ht="15.75" customHeight="1">
      <c r="A63" s="6" t="s">
        <v>76</v>
      </c>
      <c r="B63" s="3">
        <v>240.0</v>
      </c>
      <c r="C63" s="5">
        <v>45809.0</v>
      </c>
    </row>
    <row r="64" ht="15.75" customHeight="1">
      <c r="A64" s="2" t="s">
        <v>30</v>
      </c>
      <c r="B64" s="3">
        <v>300.0</v>
      </c>
      <c r="C64" s="5">
        <v>45809.0</v>
      </c>
    </row>
    <row r="65" ht="15.75" customHeight="1">
      <c r="A65" s="2" t="s">
        <v>77</v>
      </c>
      <c r="B65" s="3">
        <v>2000.0</v>
      </c>
      <c r="C65" s="5">
        <v>45809.0</v>
      </c>
    </row>
    <row r="66" ht="15.75" customHeight="1">
      <c r="A66" s="2" t="s">
        <v>78</v>
      </c>
      <c r="B66" s="3">
        <v>1000.0</v>
      </c>
      <c r="C66" s="5">
        <v>45809.0</v>
      </c>
    </row>
    <row r="67" ht="15.75" customHeight="1">
      <c r="A67" s="6" t="s">
        <v>79</v>
      </c>
      <c r="B67" s="3">
        <v>218.0</v>
      </c>
      <c r="C67" s="5">
        <v>45809.0</v>
      </c>
    </row>
    <row r="68" ht="15.75" customHeight="1">
      <c r="A68" s="2" t="s">
        <v>80</v>
      </c>
      <c r="B68" s="3">
        <v>100.0</v>
      </c>
      <c r="C68" s="5">
        <v>45809.0</v>
      </c>
    </row>
    <row r="69" ht="15.75" customHeight="1">
      <c r="A69" s="2" t="s">
        <v>81</v>
      </c>
      <c r="B69" s="3" t="str">
        <f>5300*2</f>
        <v>10600</v>
      </c>
      <c r="C69" s="5">
        <v>45809.0</v>
      </c>
    </row>
    <row r="70" ht="15.75" customHeight="1">
      <c r="A70" s="2" t="s">
        <v>82</v>
      </c>
      <c r="B70" s="3">
        <v>4400.0</v>
      </c>
      <c r="C70" s="5">
        <v>45809.0</v>
      </c>
    </row>
    <row r="71" ht="15.75" customHeight="1">
      <c r="A71" s="2" t="s">
        <v>83</v>
      </c>
      <c r="B71" s="3">
        <v>100.0</v>
      </c>
      <c r="C71" s="5">
        <v>45809.0</v>
      </c>
    </row>
    <row r="72" ht="15.75" customHeight="1">
      <c r="A72" s="2" t="s">
        <v>84</v>
      </c>
      <c r="B72" s="3">
        <v>100.0</v>
      </c>
      <c r="C72" s="5">
        <v>45809.0</v>
      </c>
    </row>
    <row r="73" ht="15.75" customHeight="1">
      <c r="A73" s="2" t="s">
        <v>85</v>
      </c>
      <c r="B73" s="3">
        <v>200.0</v>
      </c>
      <c r="C73" s="5">
        <v>45809.0</v>
      </c>
    </row>
    <row r="74" ht="15.75" customHeight="1">
      <c r="A74" s="6" t="s">
        <v>86</v>
      </c>
      <c r="B74" s="3" t="str">
        <f>1000+500</f>
        <v>1500</v>
      </c>
      <c r="C74" s="5">
        <v>45809.0</v>
      </c>
    </row>
    <row r="75" ht="15.75" customHeight="1">
      <c r="A75" s="2" t="s">
        <v>87</v>
      </c>
      <c r="B75" s="3">
        <v>1520.0</v>
      </c>
      <c r="C75" s="5">
        <v>45809.0</v>
      </c>
    </row>
    <row r="76" ht="15.75" customHeight="1">
      <c r="A76" s="2" t="s">
        <v>88</v>
      </c>
      <c r="B76" s="3">
        <v>2800.0</v>
      </c>
      <c r="C76" s="5">
        <v>45809.0</v>
      </c>
    </row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sheetFormatPr customHeight="1" defaultColWidth="12.63" defaultRowHeight="15.0"/>
  <cols>
    <col customWidth="1" min="1" max="6" width="12.63"/>
  </cols>
  <sheetData>
    <row r="1">
      <c r="A1" t="s">
        <v>89</v>
      </c>
      <c r="B1" t="s">
        <v>16</v>
      </c>
      <c r="C1" t="s">
        <v>1</v>
      </c>
    </row>
    <row r="2">
      <c r="A2" t="s">
        <v>90</v>
      </c>
      <c r="B2" t="s">
        <v>91</v>
      </c>
      <c r="C2">
        <v>50000.0</v>
      </c>
    </row>
    <row r="3">
      <c r="A3" t="s">
        <v>92</v>
      </c>
      <c r="B3" t="s">
        <v>91</v>
      </c>
      <c r="C3">
        <v>50000.0</v>
      </c>
    </row>
    <row r="4">
      <c r="A4" t="s">
        <v>93</v>
      </c>
      <c r="B4" t="s">
        <v>94</v>
      </c>
      <c r="C4">
        <v>25000.0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sheetFormatPr customHeight="1" defaultColWidth="12.63" defaultRowHeight="15.0"/>
  <cols>
    <col customWidth="1" min="1" max="6" width="12.63"/>
  </cols>
  <sheetData>
    <row r="1">
      <c r="A1" t="s">
        <v>95</v>
      </c>
      <c r="B1" t="s">
        <v>16</v>
      </c>
      <c r="C1" t="s">
        <v>1</v>
      </c>
      <c r="D1" t="s">
        <v>96</v>
      </c>
    </row>
    <row r="2">
      <c r="A2" t="s">
        <v>97</v>
      </c>
      <c r="B2" t="s">
        <v>98</v>
      </c>
      <c r="C2">
        <v>10000.0</v>
      </c>
      <c r="D2" t="s">
        <v>99</v>
      </c>
    </row>
    <row r="3">
      <c r="A3" t="s">
        <v>100</v>
      </c>
      <c r="B3" t="s">
        <v>101</v>
      </c>
      <c r="C3">
        <v>5000.0</v>
      </c>
      <c r="D3" t="s">
        <v>102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sheetFormatPr customHeight="1" defaultColWidth="12.63" defaultRowHeight="15.0"/>
  <cols>
    <col customWidth="1" min="1" max="6" width="12.63"/>
  </cols>
  <sheetData>
    <row r="1">
      <c r="A1" t="s">
        <v>103</v>
      </c>
      <c r="B1" t="s">
        <v>104</v>
      </c>
      <c r="C1" t="s">
        <v>105</v>
      </c>
      <c r="D1" t="s">
        <v>106</v>
      </c>
    </row>
    <row r="2">
      <c r="A2" t="s">
        <v>107</v>
      </c>
      <c r="B2">
        <v>300000.0</v>
      </c>
      <c r="C2" t="s">
        <v>108</v>
      </c>
      <c r="D2" t="s">
        <v>109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sheetFormatPr customHeight="1" defaultColWidth="12.63" defaultRowHeight="15.0"/>
  <cols>
    <col customWidth="1" min="1" max="6" width="12.63"/>
  </cols>
  <sheetData>
    <row r="1">
      <c r="A1" t="s">
        <v>110</v>
      </c>
      <c r="B1" t="s">
        <v>111</v>
      </c>
    </row>
    <row r="2">
      <c r="A2" t="s">
        <v>97</v>
      </c>
      <c r="B2" t="s">
        <v>112</v>
      </c>
    </row>
    <row r="3">
      <c r="A3" t="s">
        <v>8</v>
      </c>
      <c r="B3" t="s">
        <v>113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HeadingPairs>
    <vt:vector baseType="variant" size="2">
      <vt:variant>
        <vt:lpstr>Worksheets</vt:lpstr>
      </vt:variant>
      <vt:variant>
        <vt:i4>7</vt:i4>
      </vt:variant>
    </vt:vector>
  </HeadingPairs>
  <TitlesOfParts>
    <vt:vector baseType="lpstr" size="7">
      <vt:lpstr>Income</vt:lpstr>
      <vt:lpstr>Expenses</vt:lpstr>
      <vt:lpstr>Receivables</vt:lpstr>
      <vt:lpstr>Payables</vt:lpstr>
      <vt:lpstr>Plans</vt:lpstr>
      <vt:lpstr>Budgets</vt:lpstr>
      <vt:lpstr>Categories</vt:lpstr>
    </vt:vector>
  </TitlesOfParts>
  <Application>SheetJS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